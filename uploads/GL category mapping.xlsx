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KPI Automation dashboard\"/>
    </mc:Choice>
  </mc:AlternateContent>
  <xr:revisionPtr revIDLastSave="0" documentId="8_{51010D1E-E27D-411D-9520-08FF7751C189}" xr6:coauthVersionLast="47" xr6:coauthVersionMax="47" xr10:uidLastSave="{00000000-0000-0000-0000-000000000000}"/>
  <bookViews>
    <workbookView xWindow="-108" yWindow="-108" windowWidth="23256" windowHeight="12456" xr2:uid="{B32A08AA-C2C3-4AED-B64F-E25BC74629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7" i="1" l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Lasith Chathuranga</author>
  </authors>
  <commentList>
    <comment ref="A64" authorId="0" shapeId="0" xr:uid="{099D8CDB-CA5C-4BF4-84C4-F076BCF40CB9}">
      <text>
        <r>
          <rPr>
            <b/>
            <sz val="9"/>
            <color indexed="81"/>
            <rFont val="Tahoma"/>
            <family val="2"/>
          </rPr>
          <t>Lasith Chathuranga:</t>
        </r>
        <r>
          <rPr>
            <sz val="9"/>
            <color indexed="81"/>
            <rFont val="Tahoma"/>
            <family val="2"/>
          </rPr>
          <t xml:space="preserve">
Manually Changed</t>
        </r>
      </text>
    </comment>
    <comment ref="A83" authorId="0" shapeId="0" xr:uid="{DAB4EFDA-654D-4C1F-AFFC-D4CA09D67590}">
      <text>
        <r>
          <rPr>
            <b/>
            <sz val="9"/>
            <color indexed="81"/>
            <rFont val="Tahoma"/>
            <family val="2"/>
          </rPr>
          <t>Lasith Chathuranga:</t>
        </r>
        <r>
          <rPr>
            <sz val="9"/>
            <color indexed="81"/>
            <rFont val="Tahoma"/>
            <family val="2"/>
          </rPr>
          <t xml:space="preserve">
Manually Changed</t>
        </r>
      </text>
    </comment>
  </commentList>
</comments>
</file>

<file path=xl/sharedStrings.xml><?xml version="1.0" encoding="utf-8"?>
<sst xmlns="http://schemas.openxmlformats.org/spreadsheetml/2006/main" count="288" uniqueCount="178">
  <si>
    <t>GL Category</t>
  </si>
  <si>
    <t>GL Code</t>
  </si>
  <si>
    <t>GL Name</t>
  </si>
  <si>
    <t>REMARKS</t>
  </si>
  <si>
    <t>OLD LIST</t>
  </si>
  <si>
    <t>NEW LIST</t>
  </si>
  <si>
    <t>Administration Expenses</t>
  </si>
  <si>
    <t>Exgratia Payment</t>
  </si>
  <si>
    <t xml:space="preserve">  Royalty Expenses</t>
  </si>
  <si>
    <t>Janitorial Services</t>
  </si>
  <si>
    <t xml:space="preserve">  Cost Of Sales-Manual</t>
  </si>
  <si>
    <t>Out Source Expenses</t>
  </si>
  <si>
    <t xml:space="preserve">  Cost Of Sales-Farnell</t>
  </si>
  <si>
    <t>Foreign Travelling</t>
  </si>
  <si>
    <t xml:space="preserve">  Stock Adjustments</t>
  </si>
  <si>
    <t>Security expenses</t>
  </si>
  <si>
    <t xml:space="preserve">  Product Warranty</t>
  </si>
  <si>
    <t>Visa Expenses</t>
  </si>
  <si>
    <t xml:space="preserve">  Expense/Revenue from Stock Transfer</t>
  </si>
  <si>
    <t>Water-Admin</t>
  </si>
  <si>
    <t xml:space="preserve">  EPF-Production</t>
  </si>
  <si>
    <t>Telephone Charges-Land Lines</t>
  </si>
  <si>
    <t xml:space="preserve">  ETF-Production</t>
  </si>
  <si>
    <t>Electricity-Admin</t>
  </si>
  <si>
    <t xml:space="preserve">  Gratuity-Production</t>
  </si>
  <si>
    <t>Dep.Building</t>
  </si>
  <si>
    <t xml:space="preserve">  Staff Welfare-Production</t>
  </si>
  <si>
    <t>Dep.Furniture &amp; Fittings</t>
  </si>
  <si>
    <t xml:space="preserve">  Salaries and Wages-Production</t>
  </si>
  <si>
    <t>Dep.Office Equipments</t>
  </si>
  <si>
    <t xml:space="preserve">  Production Allowances</t>
  </si>
  <si>
    <t>Dep.Computer Equipment</t>
  </si>
  <si>
    <t xml:space="preserve">  Inventory Revaluation gain/loss</t>
  </si>
  <si>
    <t>Dep.Lease hold Buildings</t>
  </si>
  <si>
    <t xml:space="preserve">  Electricity-Admin</t>
  </si>
  <si>
    <t>Dep.Tools &amp; Jigs</t>
  </si>
  <si>
    <t>Dep.Solar Power Equipment</t>
  </si>
  <si>
    <t xml:space="preserve">  Telephone Charges-Mobile Lines</t>
  </si>
  <si>
    <t>Amortization</t>
  </si>
  <si>
    <t xml:space="preserve">  Janitorial Services</t>
  </si>
  <si>
    <t>Office maintenance</t>
  </si>
  <si>
    <t xml:space="preserve">  Security expenses</t>
  </si>
  <si>
    <t>Building Maintenance</t>
  </si>
  <si>
    <t xml:space="preserve">  Water-Admin</t>
  </si>
  <si>
    <t>Computer Maintenance</t>
  </si>
  <si>
    <t xml:space="preserve">  Salaries and Wages-Admin</t>
  </si>
  <si>
    <t>Software maintenance</t>
  </si>
  <si>
    <t xml:space="preserve">  EPF-Admin</t>
  </si>
  <si>
    <t>Travelling Charges</t>
  </si>
  <si>
    <t xml:space="preserve">  ETF-Admin</t>
  </si>
  <si>
    <t>Vehicle Maintenance</t>
  </si>
  <si>
    <t xml:space="preserve">  Admin Allowances</t>
  </si>
  <si>
    <t>Vehicle Revenue license Renewal</t>
  </si>
  <si>
    <t xml:space="preserve">  Over Time -Admin</t>
  </si>
  <si>
    <t>Vehicle Insurance  Renewal</t>
  </si>
  <si>
    <t xml:space="preserve">  Gratuity-Admin</t>
  </si>
  <si>
    <t>Fuel Expences-Vehicle</t>
  </si>
  <si>
    <t xml:space="preserve">  Annual Bonus-Admin</t>
  </si>
  <si>
    <t>Insurance expenses</t>
  </si>
  <si>
    <t xml:space="preserve">  Dep.Building</t>
  </si>
  <si>
    <t>Printing And Stationary</t>
  </si>
  <si>
    <t xml:space="preserve">  Dep.Furniture &amp; Fittings</t>
  </si>
  <si>
    <t>Courier &amp; Postage</t>
  </si>
  <si>
    <t xml:space="preserve">  Dep.Office Equipments</t>
  </si>
  <si>
    <t>Selling &amp; Distribution Expenses</t>
  </si>
  <si>
    <t>Rent -Lease premises</t>
  </si>
  <si>
    <t xml:space="preserve">  Dep.Computer Equipment</t>
  </si>
  <si>
    <t>Membership &amp; Renewal Fees</t>
  </si>
  <si>
    <t xml:space="preserve">  Dep.Plant &amp; Machine</t>
  </si>
  <si>
    <t>Landscaping</t>
  </si>
  <si>
    <t xml:space="preserve">  Dep.Tools &amp; Jigs</t>
  </si>
  <si>
    <t>Donations</t>
  </si>
  <si>
    <t xml:space="preserve">  Amortization</t>
  </si>
  <si>
    <t>Registration &amp; Licence-Admin</t>
  </si>
  <si>
    <t xml:space="preserve">  Software maintenance</t>
  </si>
  <si>
    <t>Legal Fees</t>
  </si>
  <si>
    <t xml:space="preserve">  Travelling Charges</t>
  </si>
  <si>
    <t>Professional Fees</t>
  </si>
  <si>
    <t xml:space="preserve">  Travelling &amp; Transport - Admn</t>
  </si>
  <si>
    <t>Bad Debtor Provision</t>
  </si>
  <si>
    <t>Impairment charge -Debtors</t>
  </si>
  <si>
    <t xml:space="preserve">  Vehicle Maintenance</t>
  </si>
  <si>
    <t>Cost Of Sales</t>
  </si>
  <si>
    <t>Travelling&amp;Transport-Production</t>
  </si>
  <si>
    <t xml:space="preserve">  Vehicle Revenue license Renewal</t>
  </si>
  <si>
    <t>Royalty Expences</t>
  </si>
  <si>
    <t xml:space="preserve">  Staff Welfare-Admin</t>
  </si>
  <si>
    <t>Cost Of Sales-Manual</t>
  </si>
  <si>
    <t xml:space="preserve">  Printing And Stationary</t>
  </si>
  <si>
    <t>Cost Of Sales-Farnell</t>
  </si>
  <si>
    <t xml:space="preserve">  Courier &amp; Postage</t>
  </si>
  <si>
    <t>Stock Adjustments</t>
  </si>
  <si>
    <t>Product Warranty</t>
  </si>
  <si>
    <t xml:space="preserve">  Tendering Expenses</t>
  </si>
  <si>
    <t>Laboratory Testing</t>
  </si>
  <si>
    <t xml:space="preserve">  Sales Promotion Expenses</t>
  </si>
  <si>
    <t>Sample Cost</t>
  </si>
  <si>
    <t>Commission &amp; Incentives RM/DS</t>
  </si>
  <si>
    <t>Subcontracting Charges</t>
  </si>
  <si>
    <t xml:space="preserve">  Expenses On Exports</t>
  </si>
  <si>
    <t>Fuel Allowances-Production</t>
  </si>
  <si>
    <t xml:space="preserve">  Rent Expences- Show Room</t>
  </si>
  <si>
    <t>Annual Bonus-Production</t>
  </si>
  <si>
    <t>10X Allwoances-Sales &amp; MKT</t>
  </si>
  <si>
    <t>E.P.F-Production</t>
  </si>
  <si>
    <t xml:space="preserve">  Electricity -Show Room &amp; Bases</t>
  </si>
  <si>
    <t>E.T.F-Production</t>
  </si>
  <si>
    <t xml:space="preserve">  Fuel Allowances-Sales&amp; MKT</t>
  </si>
  <si>
    <t>Gratuity-Production</t>
  </si>
  <si>
    <t xml:space="preserve">  Annual Bonus-Sales&amp; MKT</t>
  </si>
  <si>
    <t>Staff Welfare-Production</t>
  </si>
  <si>
    <t>EPF-Sales &amp; MKT</t>
  </si>
  <si>
    <t>Salaries and Wages-Production</t>
  </si>
  <si>
    <t>ETF-Sales &amp; MKT</t>
  </si>
  <si>
    <t>Production Allowances</t>
  </si>
  <si>
    <t xml:space="preserve">  Water -Show Room &amp; Bases</t>
  </si>
  <si>
    <t>Payment Diffrence</t>
  </si>
  <si>
    <t>Gratuity-Sales &amp; MKT</t>
  </si>
  <si>
    <t>Dep.Plant &amp; Machine</t>
  </si>
  <si>
    <t xml:space="preserve">  Staff Welfare-Sales &amp; MKT</t>
  </si>
  <si>
    <t>General Employee Expenses</t>
  </si>
  <si>
    <t>Casual Wages</t>
  </si>
  <si>
    <t>Salaries and Wages-Sales &amp; MKT</t>
  </si>
  <si>
    <t>10X Allwoances</t>
  </si>
  <si>
    <t xml:space="preserve">  Janitorial Services-Show room</t>
  </si>
  <si>
    <t>Vehicle Allowances-Employee</t>
  </si>
  <si>
    <t>Transp Allowance</t>
  </si>
  <si>
    <t>Fuel Allowances-Admin</t>
  </si>
  <si>
    <t>Transport Charge Selling &amp; Distribution</t>
  </si>
  <si>
    <t>Training &amp; Development</t>
  </si>
  <si>
    <t>Telephone Charges-Mobile Lines</t>
  </si>
  <si>
    <t xml:space="preserve">  Advertisement and Sales Promotion</t>
  </si>
  <si>
    <t>Staff Welfare-Admin</t>
  </si>
  <si>
    <t xml:space="preserve">  Bank Charges</t>
  </si>
  <si>
    <t xml:space="preserve">  Interest on Credit Card</t>
  </si>
  <si>
    <t>Sales Performance Incentives</t>
  </si>
  <si>
    <t>Interest on STB</t>
  </si>
  <si>
    <t>Over Time -Admin</t>
  </si>
  <si>
    <t xml:space="preserve">  Legal Fees</t>
  </si>
  <si>
    <t>Annual Bonus-Sales&amp; MKT</t>
  </si>
  <si>
    <t>Salaries and Wages-Admin</t>
  </si>
  <si>
    <t>E.P.F-Admin</t>
  </si>
  <si>
    <t>E.T.F-Admin</t>
  </si>
  <si>
    <t>Admin Allowances</t>
  </si>
  <si>
    <t>Gratuity-Admin</t>
  </si>
  <si>
    <t>General Employee Expenses - Need to check "Text" &amp; sort manually</t>
  </si>
  <si>
    <t>Need to check "Text" &amp; sort manually</t>
  </si>
  <si>
    <t>Travelling &amp; Transport - Admn</t>
  </si>
  <si>
    <t>Annual Bonus-Admin</t>
  </si>
  <si>
    <t>Fuel Allowances-Sales&amp; MKT</t>
  </si>
  <si>
    <t>Staff Welfare-Sales &amp; MKT</t>
  </si>
  <si>
    <t>Finance Cost</t>
  </si>
  <si>
    <t>Bank Charges</t>
  </si>
  <si>
    <t>Interest on Credit Card</t>
  </si>
  <si>
    <t>Rent Expences- Show Room</t>
  </si>
  <si>
    <t>Dep.Motor Vehicles</t>
  </si>
  <si>
    <t>Show room maintenance</t>
  </si>
  <si>
    <t>Rent Expences- 3PL</t>
  </si>
  <si>
    <t>Tendering Expenses</t>
  </si>
  <si>
    <t>Sales Meeting Expenses</t>
  </si>
  <si>
    <t>Sales Promotion Expenses</t>
  </si>
  <si>
    <t>Promotional Entertainment</t>
  </si>
  <si>
    <t>Orel Point Expenses</t>
  </si>
  <si>
    <t>DSR Expenses</t>
  </si>
  <si>
    <t>Early Settlement Rebate</t>
  </si>
  <si>
    <t>Mcash/Ez Cash Comm. Expenses</t>
  </si>
  <si>
    <t>Water -Show Room &amp; Bases</t>
  </si>
  <si>
    <t>Security expenses-Show room</t>
  </si>
  <si>
    <t>Advertisement and Sales Promotion</t>
  </si>
  <si>
    <t>Registration &amp; Licence -Sales &amp; MKT</t>
  </si>
  <si>
    <t>Expenses On Exports</t>
  </si>
  <si>
    <t>Electricity -Show Room &amp; Bases</t>
  </si>
  <si>
    <t>Janitorial Services-Show room</t>
  </si>
  <si>
    <t>Bad Debts Expenses</t>
  </si>
  <si>
    <t>Selling &amp; Distribution Expenses - NEW GL - CHECK AND ADD LAST MONTHS</t>
  </si>
  <si>
    <t>Rebate &amp; Discount Expenses</t>
  </si>
  <si>
    <t>Other Expenses - NEW GL - CHECK AND ADD LAST MONTHS</t>
  </si>
  <si>
    <t>Price 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</si>
</sst>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12">
    <xf numFmtId="0" fontId="0" fillId="0" borderId="0" xfId="0"/>
    <xf numFmtId="0" fontId="3" fillId="2" borderId="1" xfId="1" applyFont="1" applyFill="1" applyBorder="1" applyAlignment="1">
      <alignment horizontal="center" vertical="top"/>
    </xf>
    <xf numFmtId="0" fontId="3" fillId="2" borderId="1" xfId="1" applyFont="1" applyFill="1" applyBorder="1" applyAlignment="1">
      <alignment horizontal="left" vertical="top"/>
    </xf>
    <xf numFmtId="0" fontId="4" fillId="3" borderId="1" xfId="1" applyFont="1" applyFill="1" applyBorder="1" applyAlignment="1">
      <alignment horizontal="center" vertical="top"/>
    </xf>
    <xf numFmtId="0" fontId="3" fillId="0" borderId="1" xfId="1" applyFont="1" applyBorder="1" applyAlignment="1">
      <alignment horizontal="center" vertical="top"/>
    </xf>
    <xf numFmtId="0" fontId="2" fillId="0" borderId="1" xfId="1" applyBorder="1" applyAlignment="1">
      <alignment vertical="top"/>
    </xf>
    <xf numFmtId="0" fontId="2" fillId="0" borderId="1" xfId="1" applyBorder="1" applyAlignment="1">
      <alignment horizontal="left" vertical="top"/>
    </xf>
    <xf numFmtId="0" fontId="2" fillId="3" borderId="1" xfId="1" applyFill="1" applyBorder="1" applyAlignment="1">
      <alignment vertical="top"/>
    </xf>
    <xf numFmtId="0" fontId="1" fillId="0" borderId="1" xfId="2" applyBorder="1" applyAlignment="1">
      <alignment horizontal="left"/>
    </xf>
    <xf numFmtId="0" fontId="3" fillId="3" borderId="1" xfId="1" applyFont="1" applyFill="1" applyBorder="1" applyAlignment="1">
      <alignment vertical="top"/>
    </xf>
    <xf numFmtId="0" fontId="2" fillId="2" borderId="1" xfId="1" applyFill="1" applyBorder="1" applyAlignment="1">
      <alignment vertical="top"/>
    </xf>
    <xf numFmtId="0" fontId="1" fillId="0" borderId="1" xfId="2" applyBorder="1" applyAlignment="1"/>
  </cellXfs>
  <cellStyles count="3">
    <cellStyle name="Normal" xfId="0" builtinId="0"/>
    <cellStyle name="Normal 2 6" xfId="2" xr:uid="{95958FC5-2E98-4533-B10C-8DD6EDD46E6D}"/>
    <cellStyle name="Normal 4 2 2" xfId="1" xr:uid="{CD94EC66-1665-4569-821A-573982809F30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1B219-F49C-443D-BC65-D1034B0546C3}">
  <dimension ref="A1:H108"/>
  <sheetViews>
    <sheetView tabSelected="1" workbookViewId="0">
      <selection sqref="A1:H108"/>
    </sheetView>
  </sheetViews>
  <sheetFormatPr defaultRowHeight="14.4" x14ac:dyDescent="0.3"/>
  <cols>
    <col min="1" max="1" width="66.5546875" bestFit="1" customWidth="1"/>
    <col min="2" max="2" width="8.6640625" bestFit="1" customWidth="1"/>
    <col min="3" max="3" width="33.109375" bestFit="1" customWidth="1"/>
    <col min="4" max="4" width="34.44140625" bestFit="1" customWidth="1"/>
    <col min="6" max="6" width="7" bestFit="1" customWidth="1"/>
    <col min="7" max="7" width="33.88671875" bestFit="1" customWidth="1"/>
    <col min="8" max="8" width="33.109375" bestFit="1" customWidth="1"/>
  </cols>
  <sheetData>
    <row r="1" spans="1:8" x14ac:dyDescent="0.3">
      <c r="A1" s="1" t="s">
        <v>0</v>
      </c>
      <c r="B1" s="2" t="s">
        <v>1</v>
      </c>
      <c r="C1" s="1" t="s">
        <v>2</v>
      </c>
      <c r="D1" s="3" t="s">
        <v>3</v>
      </c>
      <c r="E1" s="4"/>
      <c r="F1" s="4"/>
      <c r="G1" s="4" t="s">
        <v>4</v>
      </c>
      <c r="H1" s="4" t="s">
        <v>5</v>
      </c>
    </row>
    <row r="2" spans="1:8" x14ac:dyDescent="0.3">
      <c r="A2" s="5" t="s">
        <v>6</v>
      </c>
      <c r="B2" s="6">
        <v>630011</v>
      </c>
      <c r="C2" s="5" t="s">
        <v>7</v>
      </c>
      <c r="D2" s="5"/>
      <c r="E2" s="5"/>
      <c r="F2" s="5">
        <v>600019</v>
      </c>
      <c r="G2" s="6" t="s">
        <v>8</v>
      </c>
      <c r="H2" s="5" t="str">
        <f t="shared" ref="H2:H65" si="0">+VLOOKUP(F2,B:C,2,FALSE)</f>
        <v>Royalty Expences</v>
      </c>
    </row>
    <row r="3" spans="1:8" x14ac:dyDescent="0.3">
      <c r="A3" s="5" t="s">
        <v>6</v>
      </c>
      <c r="B3" s="6">
        <v>620004</v>
      </c>
      <c r="C3" s="5" t="s">
        <v>9</v>
      </c>
      <c r="D3" s="5"/>
      <c r="E3" s="5"/>
      <c r="F3" s="5">
        <v>600023</v>
      </c>
      <c r="G3" s="6" t="s">
        <v>10</v>
      </c>
      <c r="H3" s="5" t="str">
        <f t="shared" si="0"/>
        <v>Cost Of Sales-Manual</v>
      </c>
    </row>
    <row r="4" spans="1:8" x14ac:dyDescent="0.3">
      <c r="A4" s="5" t="s">
        <v>6</v>
      </c>
      <c r="B4" s="6">
        <v>630012</v>
      </c>
      <c r="C4" s="5" t="s">
        <v>11</v>
      </c>
      <c r="D4" s="5"/>
      <c r="E4" s="5"/>
      <c r="F4" s="5">
        <v>600024</v>
      </c>
      <c r="G4" s="6" t="s">
        <v>12</v>
      </c>
      <c r="H4" s="5" t="str">
        <f t="shared" si="0"/>
        <v>Cost Of Sales-Farnell</v>
      </c>
    </row>
    <row r="5" spans="1:8" x14ac:dyDescent="0.3">
      <c r="A5" s="5" t="s">
        <v>6</v>
      </c>
      <c r="B5" s="6">
        <v>630013</v>
      </c>
      <c r="C5" s="5" t="s">
        <v>13</v>
      </c>
      <c r="D5" s="5"/>
      <c r="E5" s="5"/>
      <c r="F5" s="5">
        <v>600025</v>
      </c>
      <c r="G5" s="6" t="s">
        <v>14</v>
      </c>
      <c r="H5" s="5" t="str">
        <f t="shared" si="0"/>
        <v>Stock Adjustments</v>
      </c>
    </row>
    <row r="6" spans="1:8" x14ac:dyDescent="0.3">
      <c r="A6" s="5" t="s">
        <v>6</v>
      </c>
      <c r="B6" s="6">
        <v>620005</v>
      </c>
      <c r="C6" s="5" t="s">
        <v>15</v>
      </c>
      <c r="D6" s="5"/>
      <c r="E6" s="5"/>
      <c r="F6" s="5">
        <v>600026</v>
      </c>
      <c r="G6" s="6" t="s">
        <v>16</v>
      </c>
      <c r="H6" s="5" t="str">
        <f t="shared" si="0"/>
        <v>Product Warranty</v>
      </c>
    </row>
    <row r="7" spans="1:8" x14ac:dyDescent="0.3">
      <c r="A7" s="5" t="s">
        <v>6</v>
      </c>
      <c r="B7" s="6">
        <v>630016</v>
      </c>
      <c r="C7" s="5" t="s">
        <v>17</v>
      </c>
      <c r="D7" s="5"/>
      <c r="E7" s="5"/>
      <c r="F7" s="5">
        <v>600032</v>
      </c>
      <c r="G7" s="6" t="s">
        <v>18</v>
      </c>
      <c r="H7" s="5" t="e">
        <f t="shared" si="0"/>
        <v>#N/A</v>
      </c>
    </row>
    <row r="8" spans="1:8" x14ac:dyDescent="0.3">
      <c r="A8" s="5" t="s">
        <v>6</v>
      </c>
      <c r="B8" s="6">
        <v>620006</v>
      </c>
      <c r="C8" s="5" t="s">
        <v>19</v>
      </c>
      <c r="D8" s="5"/>
      <c r="E8" s="5"/>
      <c r="F8" s="5">
        <v>600207</v>
      </c>
      <c r="G8" s="6" t="s">
        <v>20</v>
      </c>
      <c r="H8" s="5" t="str">
        <f t="shared" si="0"/>
        <v>E.P.F-Production</v>
      </c>
    </row>
    <row r="9" spans="1:8" x14ac:dyDescent="0.3">
      <c r="A9" s="5" t="s">
        <v>6</v>
      </c>
      <c r="B9" s="6">
        <v>620001</v>
      </c>
      <c r="C9" s="5" t="s">
        <v>21</v>
      </c>
      <c r="D9" s="5"/>
      <c r="E9" s="5"/>
      <c r="F9" s="5">
        <v>600208</v>
      </c>
      <c r="G9" s="6" t="s">
        <v>22</v>
      </c>
      <c r="H9" s="5" t="str">
        <f t="shared" si="0"/>
        <v>E.T.F-Production</v>
      </c>
    </row>
    <row r="10" spans="1:8" x14ac:dyDescent="0.3">
      <c r="A10" s="5" t="s">
        <v>6</v>
      </c>
      <c r="B10" s="6">
        <v>620000</v>
      </c>
      <c r="C10" s="5" t="s">
        <v>23</v>
      </c>
      <c r="D10" s="5"/>
      <c r="E10" s="5"/>
      <c r="F10" s="5">
        <v>600210</v>
      </c>
      <c r="G10" s="6" t="s">
        <v>24</v>
      </c>
      <c r="H10" s="5" t="str">
        <f t="shared" si="0"/>
        <v>Gratuity-Production</v>
      </c>
    </row>
    <row r="11" spans="1:8" x14ac:dyDescent="0.3">
      <c r="A11" s="5" t="s">
        <v>6</v>
      </c>
      <c r="B11" s="6">
        <v>640000</v>
      </c>
      <c r="C11" s="5" t="s">
        <v>25</v>
      </c>
      <c r="D11" s="5"/>
      <c r="E11" s="5"/>
      <c r="F11" s="5">
        <v>600216</v>
      </c>
      <c r="G11" s="6" t="s">
        <v>26</v>
      </c>
      <c r="H11" s="5" t="str">
        <f t="shared" si="0"/>
        <v>Staff Welfare-Production</v>
      </c>
    </row>
    <row r="12" spans="1:8" x14ac:dyDescent="0.3">
      <c r="A12" s="5" t="s">
        <v>6</v>
      </c>
      <c r="B12" s="6">
        <v>640002</v>
      </c>
      <c r="C12" s="5" t="s">
        <v>27</v>
      </c>
      <c r="D12" s="5"/>
      <c r="E12" s="5"/>
      <c r="F12" s="5">
        <v>600217</v>
      </c>
      <c r="G12" s="6" t="s">
        <v>28</v>
      </c>
      <c r="H12" s="5" t="str">
        <f t="shared" si="0"/>
        <v>Salaries and Wages-Production</v>
      </c>
    </row>
    <row r="13" spans="1:8" x14ac:dyDescent="0.3">
      <c r="A13" s="5" t="s">
        <v>6</v>
      </c>
      <c r="B13" s="6">
        <v>640003</v>
      </c>
      <c r="C13" s="5" t="s">
        <v>29</v>
      </c>
      <c r="D13" s="5"/>
      <c r="E13" s="5"/>
      <c r="F13" s="5">
        <v>600707</v>
      </c>
      <c r="G13" s="6" t="s">
        <v>30</v>
      </c>
      <c r="H13" s="5" t="str">
        <f t="shared" si="0"/>
        <v>Production Allowances</v>
      </c>
    </row>
    <row r="14" spans="1:8" x14ac:dyDescent="0.3">
      <c r="A14" s="5" t="s">
        <v>6</v>
      </c>
      <c r="B14" s="6">
        <v>640004</v>
      </c>
      <c r="C14" s="5" t="s">
        <v>31</v>
      </c>
      <c r="D14" s="5"/>
      <c r="E14" s="5"/>
      <c r="F14" s="5">
        <v>610000</v>
      </c>
      <c r="G14" s="6" t="s">
        <v>32</v>
      </c>
      <c r="H14" s="5" t="e">
        <f t="shared" si="0"/>
        <v>#N/A</v>
      </c>
    </row>
    <row r="15" spans="1:8" x14ac:dyDescent="0.3">
      <c r="A15" s="5" t="s">
        <v>6</v>
      </c>
      <c r="B15" s="6">
        <v>640006</v>
      </c>
      <c r="C15" s="5" t="s">
        <v>33</v>
      </c>
      <c r="D15" s="5"/>
      <c r="E15" s="5"/>
      <c r="F15" s="5">
        <v>620000</v>
      </c>
      <c r="G15" s="6" t="s">
        <v>34</v>
      </c>
      <c r="H15" s="5" t="str">
        <f t="shared" si="0"/>
        <v>Electricity-Admin</v>
      </c>
    </row>
    <row r="16" spans="1:8" x14ac:dyDescent="0.3">
      <c r="A16" s="5" t="s">
        <v>6</v>
      </c>
      <c r="B16" s="6">
        <v>640008</v>
      </c>
      <c r="C16" s="5" t="s">
        <v>35</v>
      </c>
      <c r="D16" s="5"/>
      <c r="E16" s="5"/>
      <c r="F16" s="5">
        <v>620001</v>
      </c>
      <c r="G16" s="6" t="s">
        <v>21</v>
      </c>
      <c r="H16" s="5" t="str">
        <f t="shared" si="0"/>
        <v>Telephone Charges-Land Lines</v>
      </c>
    </row>
    <row r="17" spans="1:8" x14ac:dyDescent="0.3">
      <c r="A17" s="5" t="s">
        <v>6</v>
      </c>
      <c r="B17" s="6">
        <v>640009</v>
      </c>
      <c r="C17" s="5" t="s">
        <v>36</v>
      </c>
      <c r="D17" s="5"/>
      <c r="E17" s="5"/>
      <c r="F17" s="5">
        <v>620002</v>
      </c>
      <c r="G17" s="6" t="s">
        <v>37</v>
      </c>
      <c r="H17" s="5" t="str">
        <f t="shared" si="0"/>
        <v>Telephone Charges-Mobile Lines</v>
      </c>
    </row>
    <row r="18" spans="1:8" x14ac:dyDescent="0.3">
      <c r="A18" s="5" t="s">
        <v>6</v>
      </c>
      <c r="B18" s="6">
        <v>640010</v>
      </c>
      <c r="C18" s="5" t="s">
        <v>38</v>
      </c>
      <c r="D18" s="5"/>
      <c r="E18" s="5"/>
      <c r="F18" s="5">
        <v>620004</v>
      </c>
      <c r="G18" s="6" t="s">
        <v>39</v>
      </c>
      <c r="H18" s="5" t="str">
        <f t="shared" si="0"/>
        <v>Janitorial Services</v>
      </c>
    </row>
    <row r="19" spans="1:8" x14ac:dyDescent="0.3">
      <c r="A19" s="5" t="s">
        <v>6</v>
      </c>
      <c r="B19" s="6">
        <v>650000</v>
      </c>
      <c r="C19" s="5" t="s">
        <v>40</v>
      </c>
      <c r="D19" s="5"/>
      <c r="E19" s="5"/>
      <c r="F19" s="5">
        <v>620005</v>
      </c>
      <c r="G19" s="6" t="s">
        <v>41</v>
      </c>
      <c r="H19" s="5" t="str">
        <f t="shared" si="0"/>
        <v>Security expenses</v>
      </c>
    </row>
    <row r="20" spans="1:8" x14ac:dyDescent="0.3">
      <c r="A20" s="5" t="s">
        <v>6</v>
      </c>
      <c r="B20" s="6">
        <v>650002</v>
      </c>
      <c r="C20" s="5" t="s">
        <v>42</v>
      </c>
      <c r="D20" s="5"/>
      <c r="E20" s="5"/>
      <c r="F20" s="5">
        <v>620006</v>
      </c>
      <c r="G20" s="6" t="s">
        <v>43</v>
      </c>
      <c r="H20" s="5" t="str">
        <f t="shared" si="0"/>
        <v>Water-Admin</v>
      </c>
    </row>
    <row r="21" spans="1:8" x14ac:dyDescent="0.3">
      <c r="A21" s="5" t="s">
        <v>6</v>
      </c>
      <c r="B21" s="6">
        <v>650003</v>
      </c>
      <c r="C21" s="5" t="s">
        <v>44</v>
      </c>
      <c r="D21" s="5"/>
      <c r="E21" s="5"/>
      <c r="F21" s="5">
        <v>630000</v>
      </c>
      <c r="G21" s="6" t="s">
        <v>45</v>
      </c>
      <c r="H21" s="5" t="str">
        <f t="shared" si="0"/>
        <v>Salaries and Wages-Admin</v>
      </c>
    </row>
    <row r="22" spans="1:8" x14ac:dyDescent="0.3">
      <c r="A22" s="5" t="s">
        <v>6</v>
      </c>
      <c r="B22" s="6">
        <v>650004</v>
      </c>
      <c r="C22" s="5" t="s">
        <v>46</v>
      </c>
      <c r="D22" s="5"/>
      <c r="E22" s="5"/>
      <c r="F22" s="5">
        <v>630001</v>
      </c>
      <c r="G22" s="6" t="s">
        <v>47</v>
      </c>
      <c r="H22" s="5" t="str">
        <f t="shared" si="0"/>
        <v>E.P.F-Admin</v>
      </c>
    </row>
    <row r="23" spans="1:8" x14ac:dyDescent="0.3">
      <c r="A23" s="5" t="s">
        <v>6</v>
      </c>
      <c r="B23" s="6">
        <v>660000</v>
      </c>
      <c r="C23" s="5" t="s">
        <v>48</v>
      </c>
      <c r="D23" s="5"/>
      <c r="E23" s="5"/>
      <c r="F23" s="5">
        <v>630002</v>
      </c>
      <c r="G23" s="6" t="s">
        <v>49</v>
      </c>
      <c r="H23" s="5" t="str">
        <f t="shared" si="0"/>
        <v>E.T.F-Admin</v>
      </c>
    </row>
    <row r="24" spans="1:8" x14ac:dyDescent="0.3">
      <c r="A24" s="5" t="s">
        <v>6</v>
      </c>
      <c r="B24" s="6">
        <v>660003</v>
      </c>
      <c r="C24" s="5" t="s">
        <v>50</v>
      </c>
      <c r="D24" s="5"/>
      <c r="E24" s="5"/>
      <c r="F24" s="5">
        <v>630003</v>
      </c>
      <c r="G24" s="6" t="s">
        <v>51</v>
      </c>
      <c r="H24" s="5" t="str">
        <f t="shared" si="0"/>
        <v>Admin Allowances</v>
      </c>
    </row>
    <row r="25" spans="1:8" x14ac:dyDescent="0.3">
      <c r="A25" s="5" t="s">
        <v>6</v>
      </c>
      <c r="B25" s="6">
        <v>660004</v>
      </c>
      <c r="C25" s="5" t="s">
        <v>52</v>
      </c>
      <c r="D25" s="5"/>
      <c r="E25" s="5"/>
      <c r="F25" s="5">
        <v>630007</v>
      </c>
      <c r="G25" s="6" t="s">
        <v>53</v>
      </c>
      <c r="H25" s="5" t="str">
        <f t="shared" si="0"/>
        <v>Over Time -Admin</v>
      </c>
    </row>
    <row r="26" spans="1:8" x14ac:dyDescent="0.3">
      <c r="A26" s="5" t="s">
        <v>6</v>
      </c>
      <c r="B26" s="6">
        <v>660005</v>
      </c>
      <c r="C26" s="5" t="s">
        <v>54</v>
      </c>
      <c r="D26" s="5"/>
      <c r="E26" s="5"/>
      <c r="F26" s="5">
        <v>630008</v>
      </c>
      <c r="G26" s="6" t="s">
        <v>55</v>
      </c>
      <c r="H26" s="5" t="str">
        <f t="shared" si="0"/>
        <v>Gratuity-Admin</v>
      </c>
    </row>
    <row r="27" spans="1:8" x14ac:dyDescent="0.3">
      <c r="A27" s="5" t="s">
        <v>6</v>
      </c>
      <c r="B27" s="6">
        <v>660006</v>
      </c>
      <c r="C27" s="5" t="s">
        <v>56</v>
      </c>
      <c r="D27" s="5"/>
      <c r="E27" s="5"/>
      <c r="F27" s="5">
        <v>630009</v>
      </c>
      <c r="G27" s="6" t="s">
        <v>57</v>
      </c>
      <c r="H27" s="5" t="str">
        <f t="shared" si="0"/>
        <v>Annual Bonus-Admin</v>
      </c>
    </row>
    <row r="28" spans="1:8" x14ac:dyDescent="0.3">
      <c r="A28" s="5" t="s">
        <v>6</v>
      </c>
      <c r="B28" s="6">
        <v>670001</v>
      </c>
      <c r="C28" s="5" t="s">
        <v>58</v>
      </c>
      <c r="D28" s="5"/>
      <c r="E28" s="5"/>
      <c r="F28" s="5">
        <v>640000</v>
      </c>
      <c r="G28" s="6" t="s">
        <v>59</v>
      </c>
      <c r="H28" s="5" t="str">
        <f t="shared" si="0"/>
        <v>Dep.Building</v>
      </c>
    </row>
    <row r="29" spans="1:8" x14ac:dyDescent="0.3">
      <c r="A29" s="5" t="s">
        <v>6</v>
      </c>
      <c r="B29" s="6">
        <v>670002</v>
      </c>
      <c r="C29" s="5" t="s">
        <v>60</v>
      </c>
      <c r="D29" s="5"/>
      <c r="E29" s="5"/>
      <c r="F29" s="5">
        <v>640002</v>
      </c>
      <c r="G29" s="6" t="s">
        <v>61</v>
      </c>
      <c r="H29" s="5" t="str">
        <f t="shared" si="0"/>
        <v>Dep.Furniture &amp; Fittings</v>
      </c>
    </row>
    <row r="30" spans="1:8" x14ac:dyDescent="0.3">
      <c r="A30" s="5" t="s">
        <v>6</v>
      </c>
      <c r="B30" s="6">
        <v>670003</v>
      </c>
      <c r="C30" s="5" t="s">
        <v>62</v>
      </c>
      <c r="D30" s="5"/>
      <c r="E30" s="5"/>
      <c r="F30" s="5">
        <v>640003</v>
      </c>
      <c r="G30" s="6" t="s">
        <v>63</v>
      </c>
      <c r="H30" s="5" t="str">
        <f t="shared" si="0"/>
        <v>Dep.Office Equipments</v>
      </c>
    </row>
    <row r="31" spans="1:8" x14ac:dyDescent="0.3">
      <c r="A31" s="5" t="s">
        <v>64</v>
      </c>
      <c r="B31" s="6">
        <v>670004</v>
      </c>
      <c r="C31" s="5" t="s">
        <v>65</v>
      </c>
      <c r="D31" s="5"/>
      <c r="E31" s="5"/>
      <c r="F31" s="5">
        <v>640004</v>
      </c>
      <c r="G31" s="6" t="s">
        <v>66</v>
      </c>
      <c r="H31" s="5" t="str">
        <f t="shared" si="0"/>
        <v>Dep.Computer Equipment</v>
      </c>
    </row>
    <row r="32" spans="1:8" x14ac:dyDescent="0.3">
      <c r="A32" s="5" t="s">
        <v>6</v>
      </c>
      <c r="B32" s="6">
        <v>670005</v>
      </c>
      <c r="C32" s="5" t="s">
        <v>67</v>
      </c>
      <c r="D32" s="5"/>
      <c r="E32" s="5"/>
      <c r="F32" s="5">
        <v>640007</v>
      </c>
      <c r="G32" s="6" t="s">
        <v>68</v>
      </c>
      <c r="H32" s="5" t="str">
        <f t="shared" si="0"/>
        <v>Dep.Plant &amp; Machine</v>
      </c>
    </row>
    <row r="33" spans="1:8" x14ac:dyDescent="0.3">
      <c r="A33" s="5" t="s">
        <v>6</v>
      </c>
      <c r="B33" s="6">
        <v>670007</v>
      </c>
      <c r="C33" s="5" t="s">
        <v>69</v>
      </c>
      <c r="D33" s="5"/>
      <c r="E33" s="5"/>
      <c r="F33" s="5">
        <v>640008</v>
      </c>
      <c r="G33" s="6" t="s">
        <v>70</v>
      </c>
      <c r="H33" s="5" t="str">
        <f t="shared" si="0"/>
        <v>Dep.Tools &amp; Jigs</v>
      </c>
    </row>
    <row r="34" spans="1:8" x14ac:dyDescent="0.3">
      <c r="A34" s="5" t="s">
        <v>6</v>
      </c>
      <c r="B34" s="6">
        <v>670008</v>
      </c>
      <c r="C34" s="5" t="s">
        <v>71</v>
      </c>
      <c r="D34" s="5"/>
      <c r="E34" s="5"/>
      <c r="F34" s="5">
        <v>640010</v>
      </c>
      <c r="G34" s="6" t="s">
        <v>72</v>
      </c>
      <c r="H34" s="5" t="str">
        <f t="shared" si="0"/>
        <v>Amortization</v>
      </c>
    </row>
    <row r="35" spans="1:8" x14ac:dyDescent="0.3">
      <c r="A35" s="5" t="s">
        <v>6</v>
      </c>
      <c r="B35" s="6">
        <v>670010</v>
      </c>
      <c r="C35" s="5" t="s">
        <v>73</v>
      </c>
      <c r="D35" s="5"/>
      <c r="E35" s="5"/>
      <c r="F35" s="5">
        <v>650004</v>
      </c>
      <c r="G35" s="6" t="s">
        <v>74</v>
      </c>
      <c r="H35" s="5" t="str">
        <f t="shared" si="0"/>
        <v>Software maintenance</v>
      </c>
    </row>
    <row r="36" spans="1:8" x14ac:dyDescent="0.3">
      <c r="A36" s="5" t="s">
        <v>6</v>
      </c>
      <c r="B36" s="6">
        <v>710000</v>
      </c>
      <c r="C36" s="5" t="s">
        <v>75</v>
      </c>
      <c r="D36" s="5"/>
      <c r="E36" s="5"/>
      <c r="F36" s="5">
        <v>660000</v>
      </c>
      <c r="G36" s="6" t="s">
        <v>76</v>
      </c>
      <c r="H36" s="5" t="str">
        <f t="shared" si="0"/>
        <v>Travelling Charges</v>
      </c>
    </row>
    <row r="37" spans="1:8" x14ac:dyDescent="0.3">
      <c r="A37" s="5" t="s">
        <v>6</v>
      </c>
      <c r="B37" s="6">
        <v>710001</v>
      </c>
      <c r="C37" s="5" t="s">
        <v>77</v>
      </c>
      <c r="D37" s="5"/>
      <c r="E37" s="5"/>
      <c r="F37" s="5">
        <v>660001</v>
      </c>
      <c r="G37" s="6" t="s">
        <v>78</v>
      </c>
      <c r="H37" s="5" t="str">
        <f t="shared" si="0"/>
        <v>Travelling &amp; Transport - Admn</v>
      </c>
    </row>
    <row r="38" spans="1:8" x14ac:dyDescent="0.3">
      <c r="A38" s="5" t="s">
        <v>79</v>
      </c>
      <c r="B38" s="6">
        <v>680034</v>
      </c>
      <c r="C38" s="6" t="s">
        <v>80</v>
      </c>
      <c r="D38" s="5"/>
      <c r="E38" s="5"/>
      <c r="F38" s="5">
        <v>660003</v>
      </c>
      <c r="G38" s="6" t="s">
        <v>81</v>
      </c>
      <c r="H38" s="5" t="str">
        <f t="shared" si="0"/>
        <v>Vehicle Maintenance</v>
      </c>
    </row>
    <row r="39" spans="1:8" x14ac:dyDescent="0.3">
      <c r="A39" s="5" t="s">
        <v>82</v>
      </c>
      <c r="B39" s="6">
        <v>600203</v>
      </c>
      <c r="C39" s="5" t="s">
        <v>83</v>
      </c>
      <c r="D39" s="5"/>
      <c r="E39" s="5"/>
      <c r="F39" s="5">
        <v>660004</v>
      </c>
      <c r="G39" s="6" t="s">
        <v>84</v>
      </c>
      <c r="H39" s="5" t="str">
        <f t="shared" si="0"/>
        <v>Vehicle Revenue license Renewal</v>
      </c>
    </row>
    <row r="40" spans="1:8" x14ac:dyDescent="0.3">
      <c r="A40" s="5" t="s">
        <v>82</v>
      </c>
      <c r="B40" s="6">
        <v>600019</v>
      </c>
      <c r="C40" s="5" t="s">
        <v>85</v>
      </c>
      <c r="D40" s="5"/>
      <c r="E40" s="5"/>
      <c r="F40" s="5">
        <v>670000</v>
      </c>
      <c r="G40" s="6" t="s">
        <v>86</v>
      </c>
      <c r="H40" s="5" t="str">
        <f t="shared" si="0"/>
        <v>Staff Welfare-Admin</v>
      </c>
    </row>
    <row r="41" spans="1:8" x14ac:dyDescent="0.3">
      <c r="A41" s="5" t="s">
        <v>82</v>
      </c>
      <c r="B41" s="6">
        <v>600023</v>
      </c>
      <c r="C41" s="5" t="s">
        <v>87</v>
      </c>
      <c r="D41" s="5"/>
      <c r="E41" s="5"/>
      <c r="F41" s="5">
        <v>670002</v>
      </c>
      <c r="G41" s="6" t="s">
        <v>88</v>
      </c>
      <c r="H41" s="5" t="str">
        <f t="shared" si="0"/>
        <v>Printing And Stationary</v>
      </c>
    </row>
    <row r="42" spans="1:8" x14ac:dyDescent="0.3">
      <c r="A42" s="5" t="s">
        <v>82</v>
      </c>
      <c r="B42" s="6">
        <v>600024</v>
      </c>
      <c r="C42" s="5" t="s">
        <v>89</v>
      </c>
      <c r="D42" s="5"/>
      <c r="E42" s="5"/>
      <c r="F42" s="5">
        <v>670003</v>
      </c>
      <c r="G42" s="6" t="s">
        <v>90</v>
      </c>
      <c r="H42" s="5" t="str">
        <f t="shared" si="0"/>
        <v>Courier &amp; Postage</v>
      </c>
    </row>
    <row r="43" spans="1:8" x14ac:dyDescent="0.3">
      <c r="A43" s="5" t="s">
        <v>82</v>
      </c>
      <c r="B43" s="6">
        <v>600025</v>
      </c>
      <c r="C43" s="5" t="s">
        <v>91</v>
      </c>
      <c r="D43" s="5"/>
      <c r="E43" s="5"/>
      <c r="F43" s="5">
        <v>670004</v>
      </c>
      <c r="G43" s="6" t="s">
        <v>65</v>
      </c>
      <c r="H43" s="5" t="str">
        <f t="shared" si="0"/>
        <v>Rent -Lease premises</v>
      </c>
    </row>
    <row r="44" spans="1:8" x14ac:dyDescent="0.3">
      <c r="A44" s="5" t="s">
        <v>82</v>
      </c>
      <c r="B44" s="6">
        <v>600026</v>
      </c>
      <c r="C44" s="5" t="s">
        <v>92</v>
      </c>
      <c r="D44" s="5"/>
      <c r="E44" s="5"/>
      <c r="F44" s="5">
        <v>680001</v>
      </c>
      <c r="G44" s="6" t="s">
        <v>93</v>
      </c>
      <c r="H44" s="5" t="str">
        <f t="shared" si="0"/>
        <v>Tendering Expenses</v>
      </c>
    </row>
    <row r="45" spans="1:8" x14ac:dyDescent="0.3">
      <c r="A45" s="5" t="s">
        <v>82</v>
      </c>
      <c r="B45" s="6">
        <v>600028</v>
      </c>
      <c r="C45" s="5" t="s">
        <v>94</v>
      </c>
      <c r="D45" s="5"/>
      <c r="E45" s="5"/>
      <c r="F45" s="5">
        <v>680003</v>
      </c>
      <c r="G45" s="6" t="s">
        <v>95</v>
      </c>
      <c r="H45" s="5" t="str">
        <f t="shared" si="0"/>
        <v>Sales Promotion Expenses</v>
      </c>
    </row>
    <row r="46" spans="1:8" x14ac:dyDescent="0.3">
      <c r="A46" s="5" t="s">
        <v>82</v>
      </c>
      <c r="B46" s="6">
        <v>600029</v>
      </c>
      <c r="C46" s="5" t="s">
        <v>96</v>
      </c>
      <c r="D46" s="5"/>
      <c r="E46" s="5"/>
      <c r="F46" s="5">
        <v>680007</v>
      </c>
      <c r="G46" s="6" t="s">
        <v>97</v>
      </c>
      <c r="H46" s="5" t="str">
        <f t="shared" si="0"/>
        <v>Commission &amp; Incentives RM/DS</v>
      </c>
    </row>
    <row r="47" spans="1:8" x14ac:dyDescent="0.3">
      <c r="A47" s="5" t="s">
        <v>82</v>
      </c>
      <c r="B47" s="6">
        <v>600033</v>
      </c>
      <c r="C47" s="5" t="s">
        <v>98</v>
      </c>
      <c r="D47" s="5"/>
      <c r="E47" s="5"/>
      <c r="F47" s="5">
        <v>680013</v>
      </c>
      <c r="G47" s="6" t="s">
        <v>99</v>
      </c>
      <c r="H47" s="5" t="str">
        <f t="shared" si="0"/>
        <v>Expenses On Exports</v>
      </c>
    </row>
    <row r="48" spans="1:8" x14ac:dyDescent="0.3">
      <c r="A48" s="5" t="s">
        <v>82</v>
      </c>
      <c r="B48" s="6">
        <v>600205</v>
      </c>
      <c r="C48" s="5" t="s">
        <v>100</v>
      </c>
      <c r="D48" s="5"/>
      <c r="E48" s="5"/>
      <c r="F48" s="5">
        <v>680014</v>
      </c>
      <c r="G48" s="6" t="s">
        <v>101</v>
      </c>
      <c r="H48" s="5" t="str">
        <f t="shared" si="0"/>
        <v>Rent Expences- Show Room</v>
      </c>
    </row>
    <row r="49" spans="1:8" x14ac:dyDescent="0.3">
      <c r="A49" s="5" t="s">
        <v>82</v>
      </c>
      <c r="B49" s="6">
        <v>600206</v>
      </c>
      <c r="C49" s="5" t="s">
        <v>102</v>
      </c>
      <c r="D49" s="5"/>
      <c r="E49" s="5"/>
      <c r="F49" s="5">
        <v>680015</v>
      </c>
      <c r="G49" s="6" t="s">
        <v>103</v>
      </c>
      <c r="H49" s="5" t="str">
        <f t="shared" si="0"/>
        <v>10X Allwoances-Sales &amp; MKT</v>
      </c>
    </row>
    <row r="50" spans="1:8" x14ac:dyDescent="0.3">
      <c r="A50" s="5" t="s">
        <v>82</v>
      </c>
      <c r="B50" s="6">
        <v>600207</v>
      </c>
      <c r="C50" s="5" t="s">
        <v>104</v>
      </c>
      <c r="D50" s="5"/>
      <c r="E50" s="5"/>
      <c r="F50" s="5">
        <v>680016</v>
      </c>
      <c r="G50" s="6" t="s">
        <v>105</v>
      </c>
      <c r="H50" s="5" t="str">
        <f t="shared" si="0"/>
        <v>Electricity -Show Room &amp; Bases</v>
      </c>
    </row>
    <row r="51" spans="1:8" x14ac:dyDescent="0.3">
      <c r="A51" s="5" t="s">
        <v>82</v>
      </c>
      <c r="B51" s="6">
        <v>600208</v>
      </c>
      <c r="C51" s="5" t="s">
        <v>106</v>
      </c>
      <c r="D51" s="5"/>
      <c r="E51" s="5"/>
      <c r="F51" s="5">
        <v>680017</v>
      </c>
      <c r="G51" s="6" t="s">
        <v>107</v>
      </c>
      <c r="H51" s="5" t="str">
        <f t="shared" si="0"/>
        <v>Fuel Allowances-Sales&amp; MKT</v>
      </c>
    </row>
    <row r="52" spans="1:8" x14ac:dyDescent="0.3">
      <c r="A52" s="5" t="s">
        <v>82</v>
      </c>
      <c r="B52" s="6">
        <v>600210</v>
      </c>
      <c r="C52" s="5" t="s">
        <v>108</v>
      </c>
      <c r="D52" s="5"/>
      <c r="E52" s="5"/>
      <c r="F52" s="5">
        <v>680018</v>
      </c>
      <c r="G52" s="6" t="s">
        <v>109</v>
      </c>
      <c r="H52" s="5" t="str">
        <f t="shared" si="0"/>
        <v>Annual Bonus-Sales&amp; MKT</v>
      </c>
    </row>
    <row r="53" spans="1:8" x14ac:dyDescent="0.3">
      <c r="A53" s="5" t="s">
        <v>82</v>
      </c>
      <c r="B53" s="6">
        <v>600216</v>
      </c>
      <c r="C53" s="5" t="s">
        <v>110</v>
      </c>
      <c r="D53" s="5"/>
      <c r="E53" s="5"/>
      <c r="F53" s="5">
        <v>680019</v>
      </c>
      <c r="G53" s="6" t="s">
        <v>111</v>
      </c>
      <c r="H53" s="5" t="str">
        <f t="shared" si="0"/>
        <v>EPF-Sales &amp; MKT</v>
      </c>
    </row>
    <row r="54" spans="1:8" x14ac:dyDescent="0.3">
      <c r="A54" s="5" t="s">
        <v>82</v>
      </c>
      <c r="B54" s="6">
        <v>600217</v>
      </c>
      <c r="C54" s="5" t="s">
        <v>112</v>
      </c>
      <c r="D54" s="5"/>
      <c r="E54" s="5"/>
      <c r="F54" s="5">
        <v>680020</v>
      </c>
      <c r="G54" s="6" t="s">
        <v>113</v>
      </c>
      <c r="H54" s="5" t="str">
        <f t="shared" si="0"/>
        <v>ETF-Sales &amp; MKT</v>
      </c>
    </row>
    <row r="55" spans="1:8" x14ac:dyDescent="0.3">
      <c r="A55" s="5" t="s">
        <v>82</v>
      </c>
      <c r="B55" s="6">
        <v>600707</v>
      </c>
      <c r="C55" s="5" t="s">
        <v>114</v>
      </c>
      <c r="D55" s="5"/>
      <c r="E55" s="5"/>
      <c r="F55" s="5">
        <v>680021</v>
      </c>
      <c r="G55" s="6" t="s">
        <v>115</v>
      </c>
      <c r="H55" s="5" t="str">
        <f t="shared" si="0"/>
        <v>Water -Show Room &amp; Bases</v>
      </c>
    </row>
    <row r="56" spans="1:8" x14ac:dyDescent="0.3">
      <c r="A56" s="5" t="s">
        <v>82</v>
      </c>
      <c r="B56" s="6">
        <v>600715</v>
      </c>
      <c r="C56" s="5" t="s">
        <v>116</v>
      </c>
      <c r="D56" s="5"/>
      <c r="E56" s="5"/>
      <c r="F56" s="5">
        <v>680022</v>
      </c>
      <c r="G56" s="6" t="s">
        <v>117</v>
      </c>
      <c r="H56" s="5" t="str">
        <f t="shared" si="0"/>
        <v>Gratuity-Sales &amp; MKT</v>
      </c>
    </row>
    <row r="57" spans="1:8" x14ac:dyDescent="0.3">
      <c r="A57" s="5" t="s">
        <v>82</v>
      </c>
      <c r="B57" s="6">
        <v>640007</v>
      </c>
      <c r="C57" s="5" t="s">
        <v>118</v>
      </c>
      <c r="D57" s="5"/>
      <c r="E57" s="5"/>
      <c r="F57" s="5">
        <v>680023</v>
      </c>
      <c r="G57" s="6" t="s">
        <v>119</v>
      </c>
      <c r="H57" s="5" t="str">
        <f t="shared" si="0"/>
        <v>Staff Welfare-Sales &amp; MKT</v>
      </c>
    </row>
    <row r="58" spans="1:8" x14ac:dyDescent="0.3">
      <c r="A58" s="5" t="s">
        <v>120</v>
      </c>
      <c r="B58" s="6">
        <v>630014</v>
      </c>
      <c r="C58" s="5" t="s">
        <v>121</v>
      </c>
      <c r="D58" s="5"/>
      <c r="E58" s="5"/>
      <c r="F58" s="5">
        <v>680024</v>
      </c>
      <c r="G58" s="6" t="s">
        <v>122</v>
      </c>
      <c r="H58" s="5" t="str">
        <f t="shared" si="0"/>
        <v>Salaries and Wages-Sales &amp; MKT</v>
      </c>
    </row>
    <row r="59" spans="1:8" x14ac:dyDescent="0.3">
      <c r="A59" s="5" t="s">
        <v>120</v>
      </c>
      <c r="B59" s="6">
        <v>630004</v>
      </c>
      <c r="C59" s="5" t="s">
        <v>123</v>
      </c>
      <c r="D59" s="5"/>
      <c r="E59" s="5"/>
      <c r="F59" s="5">
        <v>680026</v>
      </c>
      <c r="G59" s="6" t="s">
        <v>124</v>
      </c>
      <c r="H59" s="5" t="str">
        <f t="shared" si="0"/>
        <v>Janitorial Services-Show room</v>
      </c>
    </row>
    <row r="60" spans="1:8" x14ac:dyDescent="0.3">
      <c r="A60" s="5" t="s">
        <v>120</v>
      </c>
      <c r="B60" s="6">
        <v>630005</v>
      </c>
      <c r="C60" s="5" t="s">
        <v>125</v>
      </c>
      <c r="D60" s="5"/>
      <c r="E60" s="5"/>
      <c r="F60" s="5">
        <v>680027</v>
      </c>
      <c r="G60" s="6" t="s">
        <v>126</v>
      </c>
      <c r="H60" s="5" t="str">
        <f t="shared" si="0"/>
        <v>Transp Allowance</v>
      </c>
    </row>
    <row r="61" spans="1:8" x14ac:dyDescent="0.3">
      <c r="A61" s="5" t="s">
        <v>120</v>
      </c>
      <c r="B61" s="6">
        <v>630006</v>
      </c>
      <c r="C61" s="5" t="s">
        <v>127</v>
      </c>
      <c r="D61" s="5"/>
      <c r="E61" s="5"/>
      <c r="F61" s="5">
        <v>680029</v>
      </c>
      <c r="G61" s="6" t="s">
        <v>128</v>
      </c>
      <c r="H61" s="5" t="str">
        <f t="shared" si="0"/>
        <v>Transport Charge Selling &amp; Distribution</v>
      </c>
    </row>
    <row r="62" spans="1:8" x14ac:dyDescent="0.3">
      <c r="A62" s="5" t="s">
        <v>120</v>
      </c>
      <c r="B62" s="6">
        <v>630010</v>
      </c>
      <c r="C62" s="5" t="s">
        <v>129</v>
      </c>
      <c r="D62" s="5"/>
      <c r="E62" s="5"/>
      <c r="F62" s="5">
        <v>680034</v>
      </c>
      <c r="G62" s="6" t="s">
        <v>80</v>
      </c>
      <c r="H62" s="5" t="str">
        <f t="shared" si="0"/>
        <v>Impairment charge -Debtors</v>
      </c>
    </row>
    <row r="63" spans="1:8" x14ac:dyDescent="0.3">
      <c r="A63" s="5" t="s">
        <v>120</v>
      </c>
      <c r="B63" s="6">
        <v>620002</v>
      </c>
      <c r="C63" s="5" t="s">
        <v>130</v>
      </c>
      <c r="D63" s="5"/>
      <c r="E63" s="5"/>
      <c r="F63" s="5">
        <v>690000</v>
      </c>
      <c r="G63" s="6" t="s">
        <v>131</v>
      </c>
      <c r="H63" s="5" t="str">
        <f t="shared" si="0"/>
        <v>Advertisement and Sales Promotion</v>
      </c>
    </row>
    <row r="64" spans="1:8" x14ac:dyDescent="0.3">
      <c r="A64" s="7" t="s">
        <v>120</v>
      </c>
      <c r="B64" s="6">
        <v>670000</v>
      </c>
      <c r="C64" s="5" t="s">
        <v>132</v>
      </c>
      <c r="D64" s="5"/>
      <c r="E64" s="5"/>
      <c r="F64" s="5">
        <v>700001</v>
      </c>
      <c r="G64" s="6" t="s">
        <v>133</v>
      </c>
      <c r="H64" s="5" t="str">
        <f t="shared" si="0"/>
        <v>Bank Charges</v>
      </c>
    </row>
    <row r="65" spans="1:8" x14ac:dyDescent="0.3">
      <c r="A65" s="5" t="s">
        <v>120</v>
      </c>
      <c r="B65" s="6">
        <v>680015</v>
      </c>
      <c r="C65" s="5" t="s">
        <v>103</v>
      </c>
      <c r="D65" s="5"/>
      <c r="E65" s="5"/>
      <c r="F65" s="5">
        <v>700002</v>
      </c>
      <c r="G65" s="6" t="s">
        <v>134</v>
      </c>
      <c r="H65" s="5" t="str">
        <f t="shared" si="0"/>
        <v>Interest on Credit Card</v>
      </c>
    </row>
    <row r="66" spans="1:8" x14ac:dyDescent="0.3">
      <c r="A66" s="5" t="s">
        <v>135</v>
      </c>
      <c r="B66" s="6">
        <v>680007</v>
      </c>
      <c r="C66" s="5" t="s">
        <v>97</v>
      </c>
      <c r="D66" s="5"/>
      <c r="E66" s="5"/>
      <c r="F66" s="5">
        <v>700004</v>
      </c>
      <c r="G66" s="6" t="s">
        <v>136</v>
      </c>
      <c r="H66" s="5" t="str">
        <f t="shared" ref="H66:H99" si="1">+VLOOKUP(F66,B:C,2,FALSE)</f>
        <v>Interest on STB</v>
      </c>
    </row>
    <row r="67" spans="1:8" x14ac:dyDescent="0.3">
      <c r="A67" s="5" t="s">
        <v>120</v>
      </c>
      <c r="B67" s="6">
        <v>630007</v>
      </c>
      <c r="C67" s="5" t="s">
        <v>137</v>
      </c>
      <c r="D67" s="5"/>
      <c r="E67" s="5"/>
      <c r="F67" s="5">
        <v>710000</v>
      </c>
      <c r="G67" s="6" t="s">
        <v>138</v>
      </c>
      <c r="H67" s="5" t="str">
        <f t="shared" si="1"/>
        <v>Legal Fees</v>
      </c>
    </row>
    <row r="68" spans="1:8" x14ac:dyDescent="0.3">
      <c r="A68" s="5" t="s">
        <v>120</v>
      </c>
      <c r="B68" s="6">
        <v>680018</v>
      </c>
      <c r="C68" s="5" t="s">
        <v>139</v>
      </c>
      <c r="D68" s="5"/>
      <c r="E68" s="5"/>
      <c r="F68" s="5"/>
      <c r="G68" s="6"/>
      <c r="H68" s="5"/>
    </row>
    <row r="69" spans="1:8" x14ac:dyDescent="0.3">
      <c r="A69" s="5" t="s">
        <v>120</v>
      </c>
      <c r="B69" s="6">
        <v>630000</v>
      </c>
      <c r="C69" s="5" t="s">
        <v>140</v>
      </c>
      <c r="D69" s="5"/>
      <c r="E69" s="5"/>
      <c r="F69" s="11"/>
      <c r="G69" s="8"/>
      <c r="H69" s="5"/>
    </row>
    <row r="70" spans="1:8" x14ac:dyDescent="0.3">
      <c r="A70" s="5" t="s">
        <v>120</v>
      </c>
      <c r="B70" s="6">
        <v>680020</v>
      </c>
      <c r="C70" s="5" t="s">
        <v>113</v>
      </c>
      <c r="D70" s="5"/>
      <c r="E70" s="5"/>
      <c r="F70" s="11"/>
      <c r="G70" s="8"/>
      <c r="H70" s="5"/>
    </row>
    <row r="71" spans="1:8" x14ac:dyDescent="0.3">
      <c r="A71" s="5" t="s">
        <v>120</v>
      </c>
      <c r="B71" s="6">
        <v>680022</v>
      </c>
      <c r="C71" s="5" t="s">
        <v>117</v>
      </c>
      <c r="D71" s="5"/>
      <c r="E71" s="5"/>
      <c r="F71" s="11"/>
      <c r="G71" s="8"/>
      <c r="H71" s="5"/>
    </row>
    <row r="72" spans="1:8" x14ac:dyDescent="0.3">
      <c r="A72" s="5" t="s">
        <v>120</v>
      </c>
      <c r="B72" s="6">
        <v>630001</v>
      </c>
      <c r="C72" s="5" t="s">
        <v>141</v>
      </c>
      <c r="D72" s="5"/>
      <c r="E72" s="5"/>
      <c r="F72" s="11"/>
      <c r="G72" s="8"/>
      <c r="H72" s="5"/>
    </row>
    <row r="73" spans="1:8" x14ac:dyDescent="0.3">
      <c r="A73" s="5" t="s">
        <v>120</v>
      </c>
      <c r="B73" s="6">
        <v>630002</v>
      </c>
      <c r="C73" s="5" t="s">
        <v>142</v>
      </c>
      <c r="D73" s="5"/>
      <c r="E73" s="5"/>
      <c r="F73" s="11"/>
      <c r="G73" s="8"/>
      <c r="H73" s="5"/>
    </row>
    <row r="74" spans="1:8" x14ac:dyDescent="0.3">
      <c r="A74" s="5" t="s">
        <v>120</v>
      </c>
      <c r="B74" s="6">
        <v>630003</v>
      </c>
      <c r="C74" s="5" t="s">
        <v>143</v>
      </c>
      <c r="D74" s="5"/>
      <c r="E74" s="5"/>
      <c r="F74" s="11"/>
      <c r="G74" s="8"/>
      <c r="H74" s="5"/>
    </row>
    <row r="75" spans="1:8" x14ac:dyDescent="0.3">
      <c r="A75" s="5" t="s">
        <v>120</v>
      </c>
      <c r="B75" s="6">
        <v>680027</v>
      </c>
      <c r="C75" s="5" t="s">
        <v>126</v>
      </c>
      <c r="D75" s="5"/>
      <c r="E75" s="5"/>
      <c r="F75" s="11"/>
      <c r="G75" s="8"/>
      <c r="H75" s="5"/>
    </row>
    <row r="76" spans="1:8" x14ac:dyDescent="0.3">
      <c r="A76" s="5" t="s">
        <v>120</v>
      </c>
      <c r="B76" s="6">
        <v>630008</v>
      </c>
      <c r="C76" s="5" t="s">
        <v>144</v>
      </c>
      <c r="D76" s="5"/>
      <c r="E76" s="5"/>
      <c r="F76" s="11"/>
      <c r="G76" s="8"/>
      <c r="H76" s="5"/>
    </row>
    <row r="77" spans="1:8" x14ac:dyDescent="0.3">
      <c r="A77" s="5" t="s">
        <v>120</v>
      </c>
      <c r="B77" s="6">
        <v>680019</v>
      </c>
      <c r="C77" s="5" t="s">
        <v>111</v>
      </c>
      <c r="D77" s="5"/>
      <c r="E77" s="5"/>
      <c r="F77" s="11"/>
      <c r="G77" s="8"/>
      <c r="H77" s="5"/>
    </row>
    <row r="78" spans="1:8" x14ac:dyDescent="0.3">
      <c r="A78" s="5" t="s">
        <v>120</v>
      </c>
      <c r="B78" s="6">
        <v>680024</v>
      </c>
      <c r="C78" s="5" t="s">
        <v>122</v>
      </c>
      <c r="D78" s="5"/>
      <c r="E78" s="5"/>
      <c r="F78" s="11"/>
      <c r="G78" s="8"/>
      <c r="H78" s="5"/>
    </row>
    <row r="79" spans="1:8" x14ac:dyDescent="0.3">
      <c r="A79" s="5" t="s">
        <v>145</v>
      </c>
      <c r="B79" s="6">
        <v>680029</v>
      </c>
      <c r="C79" s="5" t="s">
        <v>128</v>
      </c>
      <c r="D79" s="9" t="s">
        <v>146</v>
      </c>
      <c r="E79" s="10" t="s">
        <v>147</v>
      </c>
      <c r="F79" s="11"/>
      <c r="G79" s="8"/>
      <c r="H79" s="5"/>
    </row>
    <row r="80" spans="1:8" x14ac:dyDescent="0.3">
      <c r="A80" s="5" t="s">
        <v>120</v>
      </c>
      <c r="B80" s="6">
        <v>630009</v>
      </c>
      <c r="C80" s="5" t="s">
        <v>148</v>
      </c>
      <c r="D80" s="5"/>
      <c r="E80" s="5"/>
      <c r="F80" s="11"/>
      <c r="G80" s="8"/>
      <c r="H80" s="5"/>
    </row>
    <row r="81" spans="1:8" x14ac:dyDescent="0.3">
      <c r="A81" s="5" t="s">
        <v>120</v>
      </c>
      <c r="B81" s="6">
        <v>660001</v>
      </c>
      <c r="C81" s="5" t="s">
        <v>147</v>
      </c>
      <c r="D81" s="5"/>
      <c r="E81" s="5"/>
      <c r="F81" s="11"/>
      <c r="G81" s="8"/>
      <c r="H81" s="5"/>
    </row>
    <row r="82" spans="1:8" x14ac:dyDescent="0.3">
      <c r="A82" s="5" t="s">
        <v>120</v>
      </c>
      <c r="B82" s="6">
        <v>680017</v>
      </c>
      <c r="C82" s="5" t="s">
        <v>149</v>
      </c>
      <c r="D82" s="5"/>
      <c r="E82" s="5"/>
      <c r="F82" s="11"/>
      <c r="G82" s="8"/>
      <c r="H82" s="5"/>
    </row>
    <row r="83" spans="1:8" x14ac:dyDescent="0.3">
      <c r="A83" s="7" t="s">
        <v>120</v>
      </c>
      <c r="B83" s="6">
        <v>680023</v>
      </c>
      <c r="C83" s="5" t="s">
        <v>150</v>
      </c>
      <c r="D83" s="5"/>
      <c r="E83" s="5"/>
      <c r="F83" s="11"/>
      <c r="G83" s="8"/>
      <c r="H83" s="5"/>
    </row>
    <row r="84" spans="1:8" x14ac:dyDescent="0.3">
      <c r="A84" s="5" t="s">
        <v>151</v>
      </c>
      <c r="B84" s="6">
        <v>700001</v>
      </c>
      <c r="C84" s="5" t="s">
        <v>152</v>
      </c>
      <c r="D84" s="5"/>
      <c r="E84" s="5"/>
      <c r="F84" s="11"/>
      <c r="G84" s="8"/>
      <c r="H84" s="5"/>
    </row>
    <row r="85" spans="1:8" x14ac:dyDescent="0.3">
      <c r="A85" s="5" t="s">
        <v>151</v>
      </c>
      <c r="B85" s="6">
        <v>700002</v>
      </c>
      <c r="C85" s="5" t="s">
        <v>153</v>
      </c>
      <c r="D85" s="5"/>
      <c r="E85" s="5"/>
      <c r="F85" s="11"/>
      <c r="G85" s="8"/>
      <c r="H85" s="5"/>
    </row>
    <row r="86" spans="1:8" x14ac:dyDescent="0.3">
      <c r="A86" s="5" t="s">
        <v>151</v>
      </c>
      <c r="B86" s="6">
        <v>700004</v>
      </c>
      <c r="C86" s="5" t="s">
        <v>136</v>
      </c>
      <c r="D86" s="5"/>
      <c r="E86" s="5"/>
      <c r="F86" s="11"/>
      <c r="G86" s="8"/>
      <c r="H86" s="5"/>
    </row>
    <row r="87" spans="1:8" x14ac:dyDescent="0.3">
      <c r="A87" s="5" t="s">
        <v>64</v>
      </c>
      <c r="B87" s="6">
        <v>680014</v>
      </c>
      <c r="C87" s="5" t="s">
        <v>154</v>
      </c>
      <c r="D87" s="5"/>
      <c r="E87" s="5"/>
      <c r="F87" s="11"/>
      <c r="G87" s="8"/>
      <c r="H87" s="5"/>
    </row>
    <row r="88" spans="1:8" x14ac:dyDescent="0.3">
      <c r="A88" s="5" t="s">
        <v>64</v>
      </c>
      <c r="B88" s="6">
        <v>640001</v>
      </c>
      <c r="C88" s="5" t="s">
        <v>155</v>
      </c>
      <c r="D88" s="5"/>
      <c r="E88" s="5"/>
      <c r="F88" s="11"/>
      <c r="G88" s="8"/>
      <c r="H88" s="5"/>
    </row>
    <row r="89" spans="1:8" x14ac:dyDescent="0.3">
      <c r="A89" s="5" t="s">
        <v>64</v>
      </c>
      <c r="B89" s="6">
        <v>650001</v>
      </c>
      <c r="C89" s="5" t="s">
        <v>156</v>
      </c>
      <c r="D89" s="5"/>
      <c r="E89" s="5"/>
      <c r="F89" s="11"/>
      <c r="G89" s="8"/>
      <c r="H89" s="5"/>
    </row>
    <row r="90" spans="1:8" x14ac:dyDescent="0.3">
      <c r="A90" s="5" t="s">
        <v>64</v>
      </c>
      <c r="B90" s="6">
        <v>680000</v>
      </c>
      <c r="C90" s="5" t="s">
        <v>157</v>
      </c>
      <c r="D90" s="5"/>
      <c r="E90" s="5"/>
      <c r="F90" s="11"/>
      <c r="G90" s="8"/>
      <c r="H90" s="5"/>
    </row>
    <row r="91" spans="1:8" x14ac:dyDescent="0.3">
      <c r="A91" s="5" t="s">
        <v>64</v>
      </c>
      <c r="B91" s="6">
        <v>680001</v>
      </c>
      <c r="C91" s="5" t="s">
        <v>158</v>
      </c>
      <c r="D91" s="5"/>
      <c r="E91" s="5"/>
      <c r="F91" s="11"/>
      <c r="G91" s="8"/>
      <c r="H91" s="5"/>
    </row>
    <row r="92" spans="1:8" x14ac:dyDescent="0.3">
      <c r="A92" s="5" t="s">
        <v>64</v>
      </c>
      <c r="B92" s="6">
        <v>680002</v>
      </c>
      <c r="C92" s="5" t="s">
        <v>159</v>
      </c>
      <c r="D92" s="5"/>
      <c r="E92" s="5"/>
      <c r="F92" s="11"/>
      <c r="G92" s="8"/>
      <c r="H92" s="5"/>
    </row>
    <row r="93" spans="1:8" x14ac:dyDescent="0.3">
      <c r="A93" s="5" t="s">
        <v>64</v>
      </c>
      <c r="B93" s="6">
        <v>680003</v>
      </c>
      <c r="C93" s="5" t="s">
        <v>160</v>
      </c>
      <c r="D93" s="5"/>
      <c r="E93" s="5"/>
      <c r="F93" s="11"/>
      <c r="G93" s="8"/>
      <c r="H93" s="5"/>
    </row>
    <row r="94" spans="1:8" x14ac:dyDescent="0.3">
      <c r="A94" s="5" t="s">
        <v>64</v>
      </c>
      <c r="B94" s="6">
        <v>680004</v>
      </c>
      <c r="C94" s="5" t="s">
        <v>161</v>
      </c>
      <c r="D94" s="5"/>
      <c r="E94" s="5"/>
      <c r="F94" s="11"/>
      <c r="G94" s="8"/>
      <c r="H94" s="5"/>
    </row>
    <row r="95" spans="1:8" x14ac:dyDescent="0.3">
      <c r="A95" s="5" t="s">
        <v>64</v>
      </c>
      <c r="B95" s="6">
        <v>680005</v>
      </c>
      <c r="C95" s="5" t="s">
        <v>162</v>
      </c>
      <c r="D95" s="5"/>
      <c r="E95" s="5"/>
      <c r="F95" s="11"/>
      <c r="G95" s="8"/>
      <c r="H95" s="5"/>
    </row>
    <row r="96" spans="1:8" x14ac:dyDescent="0.3">
      <c r="A96" s="5" t="s">
        <v>64</v>
      </c>
      <c r="B96" s="6">
        <v>680006</v>
      </c>
      <c r="C96" s="5" t="s">
        <v>163</v>
      </c>
      <c r="D96" s="5"/>
      <c r="E96" s="5"/>
      <c r="F96" s="11"/>
      <c r="G96" s="8"/>
      <c r="H96" s="5"/>
    </row>
    <row r="97" spans="1:8" x14ac:dyDescent="0.3">
      <c r="A97" s="5" t="s">
        <v>64</v>
      </c>
      <c r="B97" s="6">
        <v>680009</v>
      </c>
      <c r="C97" s="5" t="s">
        <v>164</v>
      </c>
      <c r="D97" s="5"/>
      <c r="E97" s="5"/>
      <c r="F97" s="11"/>
      <c r="G97" s="8"/>
      <c r="H97" s="5"/>
    </row>
    <row r="98" spans="1:8" x14ac:dyDescent="0.3">
      <c r="A98" s="5" t="s">
        <v>64</v>
      </c>
      <c r="B98" s="6">
        <v>680010</v>
      </c>
      <c r="C98" s="5" t="s">
        <v>165</v>
      </c>
      <c r="D98" s="5"/>
      <c r="E98" s="5"/>
      <c r="F98" s="5"/>
      <c r="G98" s="6"/>
      <c r="H98" s="5"/>
    </row>
    <row r="99" spans="1:8" x14ac:dyDescent="0.3">
      <c r="A99" s="5" t="s">
        <v>64</v>
      </c>
      <c r="B99" s="6">
        <v>680021</v>
      </c>
      <c r="C99" s="5" t="s">
        <v>166</v>
      </c>
      <c r="D99" s="5"/>
      <c r="E99" s="5"/>
      <c r="F99" s="5"/>
      <c r="G99" s="6"/>
      <c r="H99" s="5"/>
    </row>
    <row r="100" spans="1:8" x14ac:dyDescent="0.3">
      <c r="A100" s="5" t="s">
        <v>64</v>
      </c>
      <c r="B100" s="6">
        <v>680025</v>
      </c>
      <c r="C100" s="5" t="s">
        <v>167</v>
      </c>
      <c r="D100" s="5"/>
      <c r="E100" s="5"/>
      <c r="F100" s="5"/>
      <c r="G100" s="6"/>
      <c r="H100" s="5"/>
    </row>
    <row r="101" spans="1:8" x14ac:dyDescent="0.3">
      <c r="A101" s="5" t="s">
        <v>64</v>
      </c>
      <c r="B101" s="6">
        <v>690000</v>
      </c>
      <c r="C101" s="5" t="s">
        <v>168</v>
      </c>
      <c r="D101" s="5"/>
      <c r="E101" s="5"/>
      <c r="F101" s="5"/>
      <c r="G101" s="6"/>
      <c r="H101" s="5"/>
    </row>
    <row r="102" spans="1:8" x14ac:dyDescent="0.3">
      <c r="A102" s="5" t="s">
        <v>64</v>
      </c>
      <c r="B102" s="6">
        <v>680012</v>
      </c>
      <c r="C102" s="5" t="s">
        <v>169</v>
      </c>
      <c r="D102" s="5"/>
      <c r="E102" s="5"/>
      <c r="F102" s="11"/>
      <c r="G102" s="8"/>
      <c r="H102" s="5"/>
    </row>
    <row r="103" spans="1:8" x14ac:dyDescent="0.3">
      <c r="A103" s="5" t="s">
        <v>64</v>
      </c>
      <c r="B103" s="6">
        <v>680013</v>
      </c>
      <c r="C103" s="5" t="s">
        <v>170</v>
      </c>
      <c r="D103" s="5"/>
      <c r="E103" s="5"/>
      <c r="F103" s="11"/>
      <c r="G103" s="8"/>
      <c r="H103" s="5"/>
    </row>
    <row r="104" spans="1:8" x14ac:dyDescent="0.3">
      <c r="A104" s="5" t="s">
        <v>64</v>
      </c>
      <c r="B104" s="6">
        <v>680016</v>
      </c>
      <c r="C104" s="5" t="s">
        <v>171</v>
      </c>
      <c r="D104" s="5"/>
      <c r="E104" s="5"/>
      <c r="F104" s="11"/>
      <c r="G104" s="8"/>
      <c r="H104" s="5"/>
    </row>
    <row r="105" spans="1:8" x14ac:dyDescent="0.3">
      <c r="A105" s="5" t="s">
        <v>64</v>
      </c>
      <c r="B105" s="6">
        <v>680026</v>
      </c>
      <c r="C105" s="5" t="s">
        <v>172</v>
      </c>
      <c r="D105" s="5"/>
      <c r="E105" s="5"/>
      <c r="F105" s="11"/>
      <c r="G105" s="8"/>
      <c r="H105" s="5"/>
    </row>
    <row r="106" spans="1:8" x14ac:dyDescent="0.3">
      <c r="A106" s="5" t="s">
        <v>64</v>
      </c>
      <c r="B106" s="6">
        <v>680011</v>
      </c>
      <c r="C106" s="5" t="s">
        <v>173</v>
      </c>
      <c r="D106" s="5"/>
      <c r="E106" s="5"/>
      <c r="F106" s="5"/>
      <c r="G106" s="6"/>
      <c r="H106" s="5"/>
    </row>
    <row r="107" spans="1:8" x14ac:dyDescent="0.3">
      <c r="A107" s="5" t="s">
        <v>174</v>
      </c>
      <c r="B107" s="6">
        <v>680008</v>
      </c>
      <c r="C107" s="5" t="s">
        <v>175</v>
      </c>
      <c r="D107" s="5"/>
      <c r="E107" s="5"/>
      <c r="F107" s="5"/>
      <c r="G107" s="6"/>
      <c r="H107" s="5"/>
    </row>
    <row r="108" spans="1:8" x14ac:dyDescent="0.3">
      <c r="A108" s="5" t="s">
        <v>176</v>
      </c>
      <c r="B108" s="6">
        <v>740002</v>
      </c>
      <c r="C108" s="5" t="s">
        <v>177</v>
      </c>
      <c r="D108" s="5"/>
      <c r="E108" s="5"/>
      <c r="F108" s="5"/>
      <c r="G108" s="6"/>
      <c r="H108" s="5"/>
    </row>
  </sheetData>
  <conditionalFormatting sqref="B1:B108">
    <cfRule type="duplicateValues" dxfId="2" priority="1"/>
  </conditionalFormatting>
  <conditionalFormatting sqref="B105">
    <cfRule type="duplicateValues" dxfId="1" priority="2"/>
  </conditionalFormatting>
  <conditionalFormatting sqref="F1:F42 F44:F49 F51:F54 F56 F58:F59 F61:F62 F64:F65 F67 F69 F71:F108">
    <cfRule type="duplicateValues" dxfId="0" priority="3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Pasindu Madushan</dc:creator>
  <cp:lastModifiedBy>Pasindu Madushan</cp:lastModifiedBy>
  <dcterms:created xsi:type="dcterms:W3CDTF">2026-07-10T10:25:45Z</dcterms:created>
  <dcterms:modified xsi:type="dcterms:W3CDTF">2026-07-10T10:27:02Z</dcterms:modified>
</cp:coreProperties>
</file>